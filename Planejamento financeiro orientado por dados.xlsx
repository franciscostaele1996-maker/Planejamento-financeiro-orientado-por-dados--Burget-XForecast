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Tudo sobre Analise de Dados\Materias para estudar SQL-POWER BI E EXCEL\4 Para analista Financeiro e tesouraria\Planilhas para praticar( exercitar )\"/>
    </mc:Choice>
  </mc:AlternateContent>
  <xr:revisionPtr revIDLastSave="0" documentId="13_ncr:1_{D85E7752-C4FF-42EF-88D7-9F19F8B4D8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çamento(Budget )X Forecast" sheetId="6" r:id="rId1"/>
    <sheet name="Orçamento(Budget )X Forecas (2)" sheetId="8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" i="8" l="1"/>
  <c r="O14" i="8"/>
  <c r="O15" i="8"/>
  <c r="N13" i="8"/>
  <c r="N14" i="8"/>
  <c r="N15" i="8"/>
  <c r="L13" i="8"/>
  <c r="L14" i="8"/>
  <c r="L15" i="8"/>
  <c r="K13" i="8"/>
  <c r="K14" i="8"/>
  <c r="K15" i="8"/>
  <c r="I13" i="8"/>
  <c r="I14" i="8"/>
  <c r="I15" i="8"/>
  <c r="H13" i="8"/>
  <c r="H14" i="8"/>
  <c r="H15" i="8"/>
  <c r="J16" i="8"/>
  <c r="J20" i="8"/>
  <c r="O12" i="8"/>
  <c r="N12" i="8"/>
  <c r="L12" i="8"/>
  <c r="L11" i="8" s="1"/>
  <c r="L22" i="8" s="1"/>
  <c r="K12" i="8"/>
  <c r="I12" i="8"/>
  <c r="I11" i="8" s="1"/>
  <c r="I22" i="8" s="1"/>
  <c r="H12" i="8"/>
  <c r="C35" i="8"/>
  <c r="C36" i="8"/>
  <c r="C37" i="8"/>
  <c r="C34" i="8"/>
  <c r="B35" i="8"/>
  <c r="B36" i="8"/>
  <c r="B37" i="8"/>
  <c r="B34" i="8"/>
  <c r="J13" i="8"/>
  <c r="P20" i="8"/>
  <c r="M20" i="8"/>
  <c r="G20" i="8"/>
  <c r="D20" i="8"/>
  <c r="P19" i="8"/>
  <c r="M19" i="8"/>
  <c r="J19" i="8"/>
  <c r="G19" i="8"/>
  <c r="D19" i="8"/>
  <c r="P18" i="8"/>
  <c r="M18" i="8"/>
  <c r="J18" i="8"/>
  <c r="G18" i="8"/>
  <c r="D18" i="8"/>
  <c r="P17" i="8"/>
  <c r="M17" i="8"/>
  <c r="J17" i="8"/>
  <c r="G17" i="8"/>
  <c r="D17" i="8"/>
  <c r="P16" i="8"/>
  <c r="M16" i="8"/>
  <c r="G16" i="8"/>
  <c r="D16" i="8"/>
  <c r="P15" i="8"/>
  <c r="M15" i="8"/>
  <c r="J15" i="8"/>
  <c r="G15" i="8"/>
  <c r="D15" i="8"/>
  <c r="P14" i="8"/>
  <c r="M14" i="8"/>
  <c r="J14" i="8"/>
  <c r="G14" i="8"/>
  <c r="D14" i="8"/>
  <c r="P13" i="8"/>
  <c r="M13" i="8"/>
  <c r="G13" i="8"/>
  <c r="D13" i="8"/>
  <c r="G12" i="8"/>
  <c r="D12" i="8"/>
  <c r="N11" i="8"/>
  <c r="N22" i="8" s="1"/>
  <c r="F11" i="8"/>
  <c r="E11" i="8"/>
  <c r="E22" i="8" s="1"/>
  <c r="E7" i="8" s="1"/>
  <c r="E8" i="8" s="1"/>
  <c r="C11" i="8"/>
  <c r="C22" i="8" s="1"/>
  <c r="B11" i="8"/>
  <c r="B22" i="8" s="1"/>
  <c r="B7" i="8" s="1"/>
  <c r="B8" i="8" s="1"/>
  <c r="B11" i="6"/>
  <c r="B22" i="6" s="1"/>
  <c r="B7" i="6" s="1"/>
  <c r="B8" i="6" s="1"/>
  <c r="I22" i="6"/>
  <c r="P20" i="6"/>
  <c r="M20" i="6"/>
  <c r="J20" i="6"/>
  <c r="G20" i="6"/>
  <c r="D20" i="6"/>
  <c r="P19" i="6"/>
  <c r="M19" i="6"/>
  <c r="J19" i="6"/>
  <c r="G19" i="6"/>
  <c r="D19" i="6"/>
  <c r="P18" i="6"/>
  <c r="M18" i="6"/>
  <c r="J18" i="6"/>
  <c r="G18" i="6"/>
  <c r="D18" i="6"/>
  <c r="P17" i="6"/>
  <c r="M17" i="6"/>
  <c r="J17" i="6"/>
  <c r="G17" i="6"/>
  <c r="D17" i="6"/>
  <c r="P16" i="6"/>
  <c r="M16" i="6"/>
  <c r="J16" i="6"/>
  <c r="G16" i="6"/>
  <c r="D16" i="6"/>
  <c r="P15" i="6"/>
  <c r="M15" i="6"/>
  <c r="J15" i="6"/>
  <c r="G15" i="6"/>
  <c r="D15" i="6"/>
  <c r="P14" i="6"/>
  <c r="M14" i="6"/>
  <c r="J14" i="6"/>
  <c r="G14" i="6"/>
  <c r="D14" i="6"/>
  <c r="P13" i="6"/>
  <c r="M13" i="6"/>
  <c r="J13" i="6"/>
  <c r="G13" i="6"/>
  <c r="D13" i="6"/>
  <c r="P12" i="6"/>
  <c r="M12" i="6"/>
  <c r="J12" i="6"/>
  <c r="G12" i="6"/>
  <c r="D12" i="6"/>
  <c r="O11" i="6"/>
  <c r="O22" i="6" s="1"/>
  <c r="N11" i="6"/>
  <c r="P11" i="6" s="1"/>
  <c r="P22" i="6" s="1"/>
  <c r="L11" i="6"/>
  <c r="L22" i="6" s="1"/>
  <c r="K11" i="6"/>
  <c r="K22" i="6" s="1"/>
  <c r="I11" i="6"/>
  <c r="H11" i="6"/>
  <c r="H22" i="6" s="1"/>
  <c r="F11" i="6"/>
  <c r="F22" i="6" s="1"/>
  <c r="E11" i="6"/>
  <c r="G11" i="6" s="1"/>
  <c r="G22" i="6" s="1"/>
  <c r="C11" i="6"/>
  <c r="C22" i="6" s="1"/>
  <c r="E37" i="8"/>
  <c r="F37" i="8"/>
  <c r="G37" i="8"/>
  <c r="D37" i="8"/>
  <c r="D36" i="8"/>
  <c r="D35" i="8"/>
  <c r="E35" i="8"/>
  <c r="F35" i="8"/>
  <c r="G35" i="8"/>
  <c r="D34" i="8"/>
  <c r="E34" i="8"/>
  <c r="G30" i="8"/>
  <c r="E30" i="8"/>
  <c r="F30" i="8"/>
  <c r="D30" i="8"/>
  <c r="E29" i="8"/>
  <c r="F29" i="8"/>
  <c r="G29" i="8"/>
  <c r="D29" i="8"/>
  <c r="F28" i="8"/>
  <c r="E28" i="8"/>
  <c r="G28" i="8"/>
  <c r="D28" i="8"/>
  <c r="F27" i="8"/>
  <c r="E27" i="8"/>
  <c r="D27" i="8"/>
  <c r="G27" i="8"/>
  <c r="H6" i="8"/>
  <c r="H6" i="6"/>
  <c r="K6" i="6"/>
  <c r="N6" i="6" s="1"/>
  <c r="K6" i="8"/>
  <c r="N6" i="8"/>
  <c r="F34" i="8"/>
  <c r="G34" i="8"/>
  <c r="E36" i="8"/>
  <c r="F36" i="8" s="1"/>
  <c r="G36" i="8" s="1"/>
  <c r="O11" i="8" l="1"/>
  <c r="O22" i="8" s="1"/>
  <c r="P12" i="8"/>
  <c r="J12" i="8"/>
  <c r="G11" i="8"/>
  <c r="G22" i="8" s="1"/>
  <c r="P11" i="8"/>
  <c r="P22" i="8" s="1"/>
  <c r="D11" i="8"/>
  <c r="D22" i="8" s="1"/>
  <c r="H11" i="8"/>
  <c r="J11" i="8" s="1"/>
  <c r="J22" i="8" s="1"/>
  <c r="N7" i="8"/>
  <c r="N8" i="8"/>
  <c r="F22" i="8"/>
  <c r="N22" i="6"/>
  <c r="N7" i="6" s="1"/>
  <c r="N8" i="6" s="1"/>
  <c r="M11" i="6"/>
  <c r="M22" i="6" s="1"/>
  <c r="J11" i="6"/>
  <c r="J22" i="6" s="1"/>
  <c r="E22" i="6"/>
  <c r="E7" i="6" s="1"/>
  <c r="E8" i="6" s="1"/>
  <c r="K7" i="6"/>
  <c r="K8" i="6" s="1"/>
  <c r="H7" i="6"/>
  <c r="H8" i="6" s="1"/>
  <c r="D11" i="6"/>
  <c r="D22" i="6" s="1"/>
  <c r="H22" i="8" l="1"/>
  <c r="H7" i="8" s="1"/>
  <c r="H8" i="8" s="1"/>
  <c r="K11" i="8" l="1"/>
  <c r="M11" i="8" s="1"/>
  <c r="M22" i="8" s="1"/>
  <c r="M12" i="8"/>
  <c r="K22" i="8" l="1"/>
  <c r="K7" i="8" s="1"/>
  <c r="K8" i="8" s="1"/>
</calcChain>
</file>

<file path=xl/sharedStrings.xml><?xml version="1.0" encoding="utf-8"?>
<sst xmlns="http://schemas.openxmlformats.org/spreadsheetml/2006/main" count="66" uniqueCount="22">
  <si>
    <t>PRODUÇÃO/INDUSTRIAL</t>
  </si>
  <si>
    <t>Matéria-prima</t>
  </si>
  <si>
    <t>Mão-de-obra operação</t>
  </si>
  <si>
    <t>Manutenção</t>
  </si>
  <si>
    <t>Material indireto</t>
  </si>
  <si>
    <t>Estoques de Matéria-prima</t>
  </si>
  <si>
    <t>Equipamentos</t>
  </si>
  <si>
    <t xml:space="preserve">Outras despesas </t>
  </si>
  <si>
    <t>Planejado</t>
  </si>
  <si>
    <t>Realizado</t>
  </si>
  <si>
    <t>Dif.</t>
  </si>
  <si>
    <t>JANEIRO</t>
  </si>
  <si>
    <t>FEVEREIRO</t>
  </si>
  <si>
    <t>MARÇO</t>
  </si>
  <si>
    <t>ABRIL</t>
  </si>
  <si>
    <t>MAIO</t>
  </si>
  <si>
    <t>ORÇAMENTO</t>
  </si>
  <si>
    <t>ORÇADO MENOS PLANEJADO</t>
  </si>
  <si>
    <t>DIFERENÇA (%)</t>
  </si>
  <si>
    <t>Total</t>
  </si>
  <si>
    <t>Forecaste Planejado</t>
  </si>
  <si>
    <t>Forecaste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</si>
</sst>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164" fontId="0" fillId="0" borderId="0" xfId="0" applyNumberFormat="1"/>
    <xf numFmtId="164" fontId="3" fillId="0" borderId="0" xfId="1" applyNumberFormat="1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" fontId="0" fillId="0" borderId="0" xfId="0" applyNumberFormat="1" applyBorder="1" applyAlignment="1">
      <alignment horizontal="center" vertical="top"/>
    </xf>
    <xf numFmtId="164" fontId="0" fillId="0" borderId="0" xfId="0" applyNumberFormat="1" applyBorder="1" applyAlignment="1">
      <alignment horizontal="center" vertical="top"/>
    </xf>
    <xf numFmtId="0" fontId="0" fillId="0" borderId="0" xfId="0" applyAlignment="1">
      <alignment horizontal="center"/>
    </xf>
    <xf numFmtId="164" fontId="7" fillId="7" borderId="1" xfId="1" applyNumberFormat="1" applyFont="1" applyFill="1" applyBorder="1" applyAlignment="1">
      <alignment horizontal="center" vertical="center"/>
    </xf>
    <xf numFmtId="164" fontId="7" fillId="7" borderId="0" xfId="1" applyNumberFormat="1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>
      <alignment horizontal="center" vertical="center"/>
    </xf>
    <xf numFmtId="165" fontId="6" fillId="4" borderId="4" xfId="2" applyNumberFormat="1" applyFont="1" applyFill="1" applyBorder="1" applyAlignment="1">
      <alignment horizontal="center" vertical="center"/>
    </xf>
    <xf numFmtId="9" fontId="6" fillId="4" borderId="4" xfId="2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0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top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71B50E70-F678-40E4-A5D8-DAE68272A384}"/>
    <cellStyle name="Porcentagem 2" xfId="2" xr:uid="{A913BF54-78BD-41A7-811F-B46EEED6C21D}"/>
  </cellStyles>
  <dxfs count="20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theme="4" tint="-0.24994659260841701"/>
      </font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theme="4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700581147306E-2"/>
          <c:y val="8.8089731984152861E-2"/>
          <c:w val="0.94112385496966178"/>
          <c:h val="0.73599550396298852"/>
        </c:manualLayout>
      </c:layout>
      <c:barChart>
        <c:barDir val="col"/>
        <c:grouping val="clustered"/>
        <c:varyColors val="0"/>
        <c:ser>
          <c:idx val="1"/>
          <c:order val="1"/>
          <c:tx>
            <c:v>Planejado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6387135724940636E-2"/>
                  <c:y val="-5.56204379562043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57-4853-96FB-28DD5B11E3CF}"/>
                </c:ext>
              </c:extLst>
            </c:dLbl>
            <c:dLbl>
              <c:idx val="2"/>
              <c:layout>
                <c:manualLayout>
                  <c:x val="-1.2074731586798339E-2"/>
                  <c:y val="-7.41605839416058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57-4853-96FB-28DD5B11E3CF}"/>
                </c:ext>
              </c:extLst>
            </c:dLbl>
            <c:dLbl>
              <c:idx val="3"/>
              <c:layout>
                <c:manualLayout>
                  <c:x val="-1.0349769931541559E-2"/>
                  <c:y val="-3.70802919708029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57-4853-96FB-28DD5B11E3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Forecast'!$B$11,'Orçamento(Budget )X Forecast'!$E$11,'Orçamento(Budget )X Forecast'!$H$11,'Orçamento(Budget )X Forecast'!$K$11,'Orçamento(Budget )X Forecast'!$N$11)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78</c:v>
                </c:pt>
                <c:pt idx="3">
                  <c:v>88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7-4853-96FB-28DD5B11E3CF}"/>
            </c:ext>
          </c:extLst>
        </c:ser>
        <c:ser>
          <c:idx val="2"/>
          <c:order val="2"/>
          <c:tx>
            <c:v>Realizado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957-4853-96FB-28DD5B11E3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Forecast'!$C$11,'Orçamento(Budget )X Forecast'!$F$11,'Orçamento(Budget )X Forecast'!$I$11,'Orçamento(Budget )X Forecast'!$L$11,'Orçamento(Budget )X Forecast'!$O$11)</c:f>
              <c:numCache>
                <c:formatCode>"R$"#,##0.00</c:formatCode>
                <c:ptCount val="5"/>
                <c:pt idx="0">
                  <c:v>72</c:v>
                </c:pt>
                <c:pt idx="1">
                  <c:v>85</c:v>
                </c:pt>
                <c:pt idx="2">
                  <c:v>75</c:v>
                </c:pt>
                <c:pt idx="3">
                  <c:v>76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7-4853-96FB-28DD5B11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6"/>
        <c:axId val="1573268208"/>
        <c:axId val="1573262384"/>
      </c:barChart>
      <c:lineChart>
        <c:grouping val="stacked"/>
        <c:varyColors val="0"/>
        <c:ser>
          <c:idx val="0"/>
          <c:order val="0"/>
          <c:tx>
            <c:v>Orçado</c:v>
          </c:tx>
          <c:spPr>
            <a:ln w="28575" cap="rnd">
              <a:gradFill>
                <a:gsLst>
                  <a:gs pos="25000">
                    <a:schemeClr val="accent2"/>
                  </a:gs>
                  <a:gs pos="100000">
                    <a:srgbClr val="FFFF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numFmt formatCode="&quot;R$&quot;\ #,##0.00" sourceLinked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Forecast'!$B$6,'Orçamento(Budget )X Forecast'!$E$6,'Orçamento(Budget )X Forecast'!$H$6,'Orçamento(Budget )X Forecast'!$K$6,'Orçamento(Budget )X Forecast'!$N$6)</c:f>
              <c:numCache>
                <c:formatCode>"R$"#,##0.00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57-4853-96FB-28DD5B11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21842585395298864"/>
          <c:h val="0.133274950739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727618663372E-2"/>
          <c:y val="0.11721162586911479"/>
          <c:w val="0.94112385496966178"/>
          <c:h val="0.7734380502346303"/>
        </c:manualLayout>
      </c:layout>
      <c:barChart>
        <c:barDir val="col"/>
        <c:grouping val="clustered"/>
        <c:varyColors val="0"/>
        <c:ser>
          <c:idx val="0"/>
          <c:order val="0"/>
          <c:tx>
            <c:v>Plamejado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Forecast'!$B$11,'Orçamento(Budget )X Forecast'!$E$11,'Orçamento(Budget )X Forecast'!$H$11,'Orçamento(Budget )X Forecast'!$K$11,'Orçamento(Budget )X Forecast'!$N$11)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78</c:v>
                </c:pt>
                <c:pt idx="3">
                  <c:v>88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E0-418B-9AAB-B2C5EF51FF2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84E0-418B-9AAB-B2C5EF51FF20}"/>
              </c:ext>
            </c:extLst>
          </c:dPt>
          <c:dLbls>
            <c:dLbl>
              <c:idx val="0"/>
              <c:layout>
                <c:manualLayout>
                  <c:x val="4.4965071521903032E-3"/>
                  <c:y val="8.3205713022184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E0-418B-9AAB-B2C5EF51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Forecast'!$C$11,'Orçamento(Budget )X Forecast'!$F$11,'Orçamento(Budget )X Forecast'!$I$11,'Orçamento(Budget )X Forecast'!$L$11,'Orçamento(Budget )X Forecast'!$O$11)</c:f>
              <c:numCache>
                <c:formatCode>"R$"#,##0.00</c:formatCode>
                <c:ptCount val="5"/>
                <c:pt idx="0">
                  <c:v>72</c:v>
                </c:pt>
                <c:pt idx="1">
                  <c:v>85</c:v>
                </c:pt>
                <c:pt idx="2">
                  <c:v>75</c:v>
                </c:pt>
                <c:pt idx="3">
                  <c:v>76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E0-418B-9AAB-B2C5EF5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1573268208"/>
        <c:axId val="1573262384"/>
      </c:barChart>
      <c:lineChart>
        <c:grouping val="standard"/>
        <c:varyColors val="0"/>
        <c:ser>
          <c:idx val="2"/>
          <c:order val="2"/>
          <c:tx>
            <c:v>Var.</c:v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9344437581665156E-2"/>
                  <c:y val="-2.4961713906655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E0-418B-9AAB-B2C5EF51FF20}"/>
                </c:ext>
              </c:extLst>
            </c:dLbl>
            <c:dLbl>
              <c:idx val="1"/>
              <c:layout>
                <c:manualLayout>
                  <c:x val="5.0585705462140917E-2"/>
                  <c:y val="0.108167754510388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776807016109003E-2"/>
                      <c:h val="0.122624583357219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4E0-418B-9AAB-B2C5EF51F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Forecast'!$B$5,'Orçamento(Budget )X Forecast'!$E$5,'Orçamento(Budget )X Forecast'!$H$5,'Orçamento(Budget )X Forecast'!$K$5,'Orçamento(Budget )X Forecast'!$N$5)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Forecast'!$D$11,'Orçamento(Budget )X Forecast'!$G$11,'Orçamento(Budget )X Forecast'!$J$11,'Orçamento(Budget )X Forecast'!$M$11,'Orçamento(Budget )X Forecast'!$P$11)</c:f>
              <c:numCache>
                <c:formatCode>"R$"#,##0.00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</c:v>
                </c:pt>
                <c:pt idx="3">
                  <c:v>12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0-418B-9AAB-B2C5EF51F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21842585395298864"/>
          <c:h val="0.133274950739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40309450385511E-2"/>
          <c:y val="9.6373887081634357E-2"/>
          <c:w val="0.94112385496966178"/>
          <c:h val="0.73599550396298852"/>
        </c:manualLayout>
      </c:layout>
      <c:barChart>
        <c:barDir val="col"/>
        <c:grouping val="clustered"/>
        <c:varyColors val="0"/>
        <c:ser>
          <c:idx val="1"/>
          <c:order val="1"/>
          <c:tx>
            <c:v>Planejado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98848246614584E-2"/>
                  <c:y val="5.3781164409443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26-46A8-AAB0-27F410277BA4}"/>
                </c:ext>
              </c:extLst>
            </c:dLbl>
            <c:dLbl>
              <c:idx val="1"/>
              <c:layout>
                <c:manualLayout>
                  <c:x val="-2.3228947109104947E-2"/>
                  <c:y val="9.1014278231365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26-46A8-AAB0-27F410277BA4}"/>
                </c:ext>
              </c:extLst>
            </c:dLbl>
            <c:dLbl>
              <c:idx val="2"/>
              <c:layout>
                <c:manualLayout>
                  <c:x val="-3.3391611469338417E-2"/>
                  <c:y val="7.0329214996964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26-46A8-AAB0-27F410277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(2)'!$B$11,'Orçamento(Budget )X Forecas (2)'!$E$11,'Orçamento(Budget )X Forecas (2)'!$H$11,'Orçamento(Budget )X Forecas (2)'!$K$11,'Orçamento(Budget )X Forecas (2)'!$N$11)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140</c:v>
                </c:pt>
                <c:pt idx="4">
                  <c:v>145.1416861575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26-46A8-AAB0-27F410277BA4}"/>
            </c:ext>
          </c:extLst>
        </c:ser>
        <c:ser>
          <c:idx val="2"/>
          <c:order val="2"/>
          <c:tx>
            <c:v>Realizado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F26-46A8-AAB0-27F410277BA4}"/>
              </c:ext>
            </c:extLst>
          </c:dPt>
          <c:dLbls>
            <c:dLbl>
              <c:idx val="1"/>
              <c:layout>
                <c:manualLayout>
                  <c:x val="6.3879604550038549E-2"/>
                  <c:y val="8.27402529376047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26-46A8-AAB0-27F410277BA4}"/>
                </c:ext>
              </c:extLst>
            </c:dLbl>
            <c:dLbl>
              <c:idx val="2"/>
              <c:layout>
                <c:manualLayout>
                  <c:x val="5.2265130995486131E-2"/>
                  <c:y val="6.20551897032034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26-46A8-AAB0-27F410277BA4}"/>
                </c:ext>
              </c:extLst>
            </c:dLbl>
            <c:dLbl>
              <c:idx val="3"/>
              <c:layout>
                <c:manualLayout>
                  <c:x val="4.7909703412528849E-2"/>
                  <c:y val="3.72331138219220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26-46A8-AAB0-27F410277BA4}"/>
                </c:ext>
              </c:extLst>
            </c:dLbl>
            <c:dLbl>
              <c:idx val="4"/>
              <c:layout>
                <c:manualLayout>
                  <c:x val="3.3391611469338361E-2"/>
                  <c:y val="-1.2411037940640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26-46A8-AAB0-27F410277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0000" spcFirstLastPara="1" vertOverflow="ellipsis" vert="horz" wrap="square" lIns="36000" tIns="0" rIns="0" bIns="19050" anchor="ctr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(2)'!$C$11,'Orçamento(Budget )X Forecas (2)'!$F$11,'Orçamento(Budget )X Forecas (2)'!$I$11,'Orçamento(Budget )X Forecas (2)'!$L$11,'Orçamento(Budget )X Forecas (2)'!$O$11)</c:f>
              <c:numCache>
                <c:formatCode>"R$"#,##0.00</c:formatCode>
                <c:ptCount val="5"/>
                <c:pt idx="0">
                  <c:v>72</c:v>
                </c:pt>
                <c:pt idx="1">
                  <c:v>100</c:v>
                </c:pt>
                <c:pt idx="2">
                  <c:v>128</c:v>
                </c:pt>
                <c:pt idx="3">
                  <c:v>128</c:v>
                </c:pt>
                <c:pt idx="4">
                  <c:v>114.39672124099999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26-46A8-AAB0-27F41027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6"/>
        <c:axId val="1573268208"/>
        <c:axId val="1573262384"/>
      </c:barChart>
      <c:lineChart>
        <c:grouping val="stacked"/>
        <c:varyColors val="0"/>
        <c:ser>
          <c:idx val="0"/>
          <c:order val="0"/>
          <c:tx>
            <c:v>Orçado</c:v>
          </c:tx>
          <c:spPr>
            <a:ln w="28575" cap="rnd">
              <a:gradFill>
                <a:gsLst>
                  <a:gs pos="25000">
                    <a:schemeClr val="accent2"/>
                  </a:gs>
                  <a:gs pos="100000">
                    <a:srgbClr val="FFFF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16144735545525E-2"/>
                  <c:y val="-5.791817705632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26-46A8-AAB0-27F410277BA4}"/>
                </c:ext>
              </c:extLst>
            </c:dLbl>
            <c:dLbl>
              <c:idx val="1"/>
              <c:layout>
                <c:manualLayout>
                  <c:x val="2.1799315157596692E-2"/>
                  <c:y val="-0.103425316172005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26-46A8-AAB0-27F410277BA4}"/>
                </c:ext>
              </c:extLst>
            </c:dLbl>
            <c:dLbl>
              <c:idx val="2"/>
              <c:layout>
                <c:manualLayout>
                  <c:x val="1.3066282748871533E-2"/>
                  <c:y val="-0.128247392053287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26-46A8-AAB0-27F410277BA4}"/>
                </c:ext>
              </c:extLst>
            </c:dLbl>
            <c:dLbl>
              <c:idx val="3"/>
              <c:layout>
                <c:manualLayout>
                  <c:x val="8.7108551659143552E-3"/>
                  <c:y val="-0.103425316172005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26-46A8-AAB0-27F410277BA4}"/>
                </c:ext>
              </c:extLst>
            </c:dLbl>
            <c:numFmt formatCode="&quot;R$&quot;\ #,##0.00" sourceLinked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(2)'!$B$6,'Orçamento(Budget )X Forecas (2)'!$E$6,'Orçamento(Budget )X Forecas (2)'!$H$6,'Orçamento(Budget )X Forecas (2)'!$K$6,'Orçamento(Budget )X Forecas (2)'!$N$6)</c:f>
              <c:numCache>
                <c:formatCode>"R$"#,##0.00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26-46A8-AAB0-27F410277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22454061794662E-3"/>
          <c:y val="1.3768525087779673E-2"/>
          <c:w val="0.29093739790579926"/>
          <c:h val="9.1853395163399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8680973244428E-2"/>
          <c:y val="0.10886027671103161"/>
          <c:w val="0.94112385496966178"/>
          <c:h val="0.7734380502346303"/>
        </c:manualLayout>
      </c:layout>
      <c:barChart>
        <c:barDir val="col"/>
        <c:grouping val="clustered"/>
        <c:varyColors val="0"/>
        <c:ser>
          <c:idx val="0"/>
          <c:order val="0"/>
          <c:tx>
            <c:v>Plamejado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3487637643648904E-17"/>
                  <c:y val="-7.1030601720328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BC-4509-ADB5-DEB7717C9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(2)'!$B$11,'Orçamento(Budget )X Forecas (2)'!$E$11,'Orçamento(Budget )X Forecas (2)'!$H$11,'Orçamento(Budget )X Forecas (2)'!$K$11,'Orçamento(Budget )X Forecas (2)'!$N$11)</c:f>
              <c:numCache>
                <c:formatCode>"R$"#,##0.00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140</c:v>
                </c:pt>
                <c:pt idx="4">
                  <c:v>145.1416861575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C-4509-ADB5-DEB7717C9F7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9BC-4509-ADB5-DEB7717C9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(2)'!$C$11,'Orçamento(Budget )X Forecas (2)'!$F$11,'Orçamento(Budget )X Forecas (2)'!$I$11,'Orçamento(Budget )X Forecas (2)'!$L$11,'Orçamento(Budget )X Forecas (2)'!$O$11)</c:f>
              <c:numCache>
                <c:formatCode>"R$"#,##0.00</c:formatCode>
                <c:ptCount val="5"/>
                <c:pt idx="0">
                  <c:v>72</c:v>
                </c:pt>
                <c:pt idx="1">
                  <c:v>100</c:v>
                </c:pt>
                <c:pt idx="2">
                  <c:v>128</c:v>
                </c:pt>
                <c:pt idx="3">
                  <c:v>128</c:v>
                </c:pt>
                <c:pt idx="4">
                  <c:v>114.39672124099999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BC-4509-ADB5-DEB7717C9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0"/>
        <c:axId val="1573268208"/>
        <c:axId val="1573262384"/>
      </c:barChart>
      <c:lineChart>
        <c:grouping val="standard"/>
        <c:varyColors val="0"/>
        <c:ser>
          <c:idx val="2"/>
          <c:order val="2"/>
          <c:tx>
            <c:v>Var.</c:v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('Orçamento(Budget )X Forecas (2)'!$B$5,'Orçamento(Budget )X Forecas (2)'!$E$5,'Orçamento(Budget )X Forecas (2)'!$H$5,'Orçamento(Budget )X Forecas (2)'!$K$5,'Orçamento(Budget )X Forecas (2)'!$N$5)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('Orçamento(Budget )X Forecas (2)'!$D$11,'Orçamento(Budget )X Forecas (2)'!$G$11,'Orçamento(Budget )X Forecas (2)'!$J$11,'Orçamento(Budget )X Forecas (2)'!$M$11,'Orçamento(Budget )X Forecas (2)'!$P$11)</c:f>
              <c:numCache>
                <c:formatCode>"R$"#,##0.00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</c:v>
                </c:pt>
                <c:pt idx="3">
                  <c:v>12</c:v>
                </c:pt>
                <c:pt idx="4">
                  <c:v>30.74496491650001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BC-4509-ADB5-DEB7717C9F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268208"/>
        <c:axId val="1573262384"/>
      </c:lineChart>
      <c:catAx>
        <c:axId val="15732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PT"/>
          </a:p>
        </c:txPr>
        <c:crossAx val="1573262384"/>
        <c:crosses val="autoZero"/>
        <c:auto val="1"/>
        <c:lblAlgn val="ctr"/>
        <c:lblOffset val="100"/>
        <c:noMultiLvlLbl val="0"/>
      </c:catAx>
      <c:valAx>
        <c:axId val="1573262384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extTo"/>
        <c:crossAx val="15732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107863221532923E-5"/>
          <c:y val="9.5902827241666887E-3"/>
          <c:w val="0.21842585395298864"/>
          <c:h val="0.133274950739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265132</xdr:colOff>
      <xdr:row>22</xdr:row>
      <xdr:rowOff>126435</xdr:rowOff>
    </xdr:from>
    <xdr:to>
      <xdr:col>10</xdr:col>
      <xdr:colOff>775112</xdr:colOff>
      <xdr:row>39</xdr:row>
      <xdr:rowOff>108250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A947A9-7D73-4D00-9547-9B96D686A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523089</xdr:colOff>
      <xdr:row>22</xdr:row>
      <xdr:rowOff>153074</xdr:rowOff>
    </xdr:from>
    <xdr:to>
      <xdr:col>23</xdr:col>
      <xdr:colOff>136374</xdr:colOff>
      <xdr:row>39</xdr:row>
      <xdr:rowOff>163464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7565DB-7529-4193-8F13-B4B01493D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185989</xdr:colOff>
      <xdr:row>0</xdr:row>
      <xdr:rowOff>154781</xdr:rowOff>
    </xdr:from>
    <xdr:to>
      <xdr:col>28</xdr:col>
      <xdr:colOff>126880</xdr:colOff>
      <xdr:row>16</xdr:row>
      <xdr:rowOff>149006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A22ED-3507-44A6-947A-62E7F3B86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194001</xdr:colOff>
      <xdr:row>19</xdr:row>
      <xdr:rowOff>132903</xdr:rowOff>
    </xdr:from>
    <xdr:to>
      <xdr:col>28</xdr:col>
      <xdr:colOff>206216</xdr:colOff>
      <xdr:row>36</xdr:row>
      <xdr:rowOff>86814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230095-654D-4A27-9B48-564B3C1D5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F955-E3DD-4F30-8DA7-E41AE847FF04}">
  <dimension ref="A4:P22"/>
  <sheetViews>
    <sheetView showGridLines="0" tabSelected="1" zoomScale="85" zoomScaleNormal="85" workbookViewId="0">
      <selection activeCell="F14" sqref="F14"/>
    </sheetView>
  </sheetViews>
  <sheetFormatPr defaultRowHeight="14.4" x14ac:dyDescent="0.3"/>
  <cols>
    <col min="1" max="1" width="43.33203125" customWidth="1"/>
    <col min="2" max="2" width="11.6640625" bestFit="1" customWidth="1"/>
    <col min="3" max="3" width="10" bestFit="1" customWidth="1"/>
    <col min="4" max="4" width="8" bestFit="1" customWidth="1"/>
    <col min="5" max="5" width="11.6640625" bestFit="1" customWidth="1"/>
    <col min="6" max="6" width="10" bestFit="1" customWidth="1"/>
    <col min="7" max="7" width="8" bestFit="1" customWidth="1"/>
    <col min="8" max="8" width="11.6640625" bestFit="1" customWidth="1"/>
    <col min="9" max="9" width="10" bestFit="1" customWidth="1"/>
    <col min="10" max="10" width="8" bestFit="1" customWidth="1"/>
    <col min="11" max="11" width="11.6640625" bestFit="1" customWidth="1"/>
    <col min="12" max="12" width="10" bestFit="1" customWidth="1"/>
    <col min="13" max="13" width="8" bestFit="1" customWidth="1"/>
    <col min="14" max="14" width="11.77734375" bestFit="1" customWidth="1"/>
    <col min="15" max="15" width="10" bestFit="1" customWidth="1"/>
    <col min="16" max="16" width="8.44140625" bestFit="1" customWidth="1"/>
    <col min="18" max="18" width="9" customWidth="1"/>
    <col min="19" max="19" width="17.44140625" bestFit="1" customWidth="1"/>
    <col min="20" max="20" width="22.21875" bestFit="1" customWidth="1"/>
  </cols>
  <sheetData>
    <row r="4" spans="1:16" x14ac:dyDescent="0.3">
      <c r="B4" s="20">
        <v>1</v>
      </c>
      <c r="C4" s="20"/>
      <c r="D4" s="20"/>
      <c r="E4" s="20">
        <v>2</v>
      </c>
      <c r="F4" s="20"/>
      <c r="G4" s="20"/>
      <c r="H4" s="20">
        <v>3</v>
      </c>
      <c r="I4" s="20"/>
      <c r="J4" s="20"/>
      <c r="K4" s="20">
        <v>4</v>
      </c>
      <c r="L4" s="20"/>
      <c r="M4" s="20"/>
      <c r="N4" s="20">
        <v>5</v>
      </c>
      <c r="O4" s="20"/>
      <c r="P4" s="20"/>
    </row>
    <row r="5" spans="1:16" ht="15.6" x14ac:dyDescent="0.3">
      <c r="A5" s="11"/>
      <c r="B5" s="26" t="s">
        <v>11</v>
      </c>
      <c r="C5" s="27"/>
      <c r="D5" s="28"/>
      <c r="E5" s="26" t="s">
        <v>12</v>
      </c>
      <c r="F5" s="27"/>
      <c r="G5" s="28"/>
      <c r="H5" s="26" t="s">
        <v>13</v>
      </c>
      <c r="I5" s="27"/>
      <c r="J5" s="28"/>
      <c r="K5" s="26" t="s">
        <v>14</v>
      </c>
      <c r="L5" s="27"/>
      <c r="M5" s="28"/>
      <c r="N5" s="29" t="s">
        <v>15</v>
      </c>
      <c r="O5" s="30"/>
      <c r="P5" s="31"/>
    </row>
    <row r="6" spans="1:16" ht="18" x14ac:dyDescent="0.3">
      <c r="A6" s="12" t="s">
        <v>16</v>
      </c>
      <c r="B6" s="32">
        <v>100</v>
      </c>
      <c r="C6" s="33"/>
      <c r="D6" s="34"/>
      <c r="E6" s="32">
        <v>120</v>
      </c>
      <c r="F6" s="33"/>
      <c r="G6" s="34"/>
      <c r="H6" s="32">
        <f>_xlfn.FORECAST.ETS(H4:J4,$B$6:G6,$B$4:G4,2,1)</f>
        <v>140</v>
      </c>
      <c r="I6" s="33"/>
      <c r="J6" s="34"/>
      <c r="K6" s="32">
        <f>_xlfn.FORECAST.ETS(K4:M4,$B$6:J6,$B$4:J4,2,1)</f>
        <v>160</v>
      </c>
      <c r="L6" s="33"/>
      <c r="M6" s="34"/>
      <c r="N6" s="32">
        <f>_xlfn.FORECAST.ETS(N4:P4,$B$6:M6,$B$4:M4,2,1)</f>
        <v>180</v>
      </c>
      <c r="O6" s="33"/>
      <c r="P6" s="34"/>
    </row>
    <row r="7" spans="1:16" ht="18" x14ac:dyDescent="0.3">
      <c r="A7" s="12" t="s">
        <v>17</v>
      </c>
      <c r="B7" s="21">
        <f>B6-B22</f>
        <v>10</v>
      </c>
      <c r="C7" s="22"/>
      <c r="D7" s="23"/>
      <c r="E7" s="21">
        <f>E6-E22</f>
        <v>10</v>
      </c>
      <c r="F7" s="22"/>
      <c r="G7" s="23"/>
      <c r="H7" s="21">
        <f>H6-H22</f>
        <v>62</v>
      </c>
      <c r="I7" s="22"/>
      <c r="J7" s="23"/>
      <c r="K7" s="21">
        <f>K6-K22</f>
        <v>72</v>
      </c>
      <c r="L7" s="22"/>
      <c r="M7" s="23"/>
      <c r="N7" s="21">
        <f>N6-N22</f>
        <v>73</v>
      </c>
      <c r="O7" s="22"/>
      <c r="P7" s="23"/>
    </row>
    <row r="8" spans="1:16" ht="18" x14ac:dyDescent="0.3">
      <c r="A8" s="12" t="s">
        <v>18</v>
      </c>
      <c r="B8" s="24">
        <f>IF(B6&lt;&gt;0,(B7/B6),"n/a")</f>
        <v>0.1</v>
      </c>
      <c r="C8" s="24"/>
      <c r="D8" s="24"/>
      <c r="E8" s="25">
        <f>IF(E6&lt;&gt;0,(E7/E6),"n/a")</f>
        <v>8.3333333333333329E-2</v>
      </c>
      <c r="F8" s="25"/>
      <c r="G8" s="25"/>
      <c r="H8" s="25">
        <f t="shared" ref="H8" si="0">IF(H6&lt;&gt;0,(H7/H6),"n/a")</f>
        <v>0.44285714285714284</v>
      </c>
      <c r="I8" s="25"/>
      <c r="J8" s="25"/>
      <c r="K8" s="25">
        <f t="shared" ref="K8" si="1">IF(K6&lt;&gt;0,(K7/K6),"n/a")</f>
        <v>0.45</v>
      </c>
      <c r="L8" s="25"/>
      <c r="M8" s="25"/>
      <c r="N8" s="25">
        <f>IF(N6&lt;&gt;0,(N7/N6),"n/a")</f>
        <v>0.40555555555555556</v>
      </c>
      <c r="O8" s="25"/>
      <c r="P8" s="25"/>
    </row>
    <row r="9" spans="1:16" ht="15.6" x14ac:dyDescent="0.3">
      <c r="A9" s="12"/>
      <c r="B9" s="9" t="s">
        <v>8</v>
      </c>
      <c r="C9" s="9" t="s">
        <v>9</v>
      </c>
      <c r="D9" s="10" t="s">
        <v>10</v>
      </c>
      <c r="E9" s="9" t="s">
        <v>8</v>
      </c>
      <c r="F9" s="9" t="s">
        <v>9</v>
      </c>
      <c r="G9" s="10" t="s">
        <v>10</v>
      </c>
      <c r="H9" s="9" t="s">
        <v>8</v>
      </c>
      <c r="I9" s="9" t="s">
        <v>9</v>
      </c>
      <c r="J9" s="10" t="s">
        <v>10</v>
      </c>
      <c r="K9" s="9" t="s">
        <v>8</v>
      </c>
      <c r="L9" s="9" t="s">
        <v>9</v>
      </c>
      <c r="M9" s="10" t="s">
        <v>10</v>
      </c>
      <c r="N9" s="9" t="s">
        <v>8</v>
      </c>
      <c r="O9" s="9" t="s">
        <v>9</v>
      </c>
      <c r="P9" s="10" t="s">
        <v>10</v>
      </c>
    </row>
    <row r="10" spans="1:16" ht="15.6" x14ac:dyDescent="0.3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2" t="s">
        <v>0</v>
      </c>
      <c r="B11" s="3">
        <f>SUM(B12:B18)</f>
        <v>90</v>
      </c>
      <c r="C11" s="3">
        <f>SUM(C12:C18)</f>
        <v>72</v>
      </c>
      <c r="D11" s="3">
        <f>B11-C11</f>
        <v>18</v>
      </c>
      <c r="E11" s="3">
        <f>SUM(E12:E20)</f>
        <v>110</v>
      </c>
      <c r="F11" s="3">
        <f>SUM(F12:F20)</f>
        <v>85</v>
      </c>
      <c r="G11" s="3">
        <f>E11-F11</f>
        <v>25</v>
      </c>
      <c r="H11" s="3">
        <f>SUM(H12:H20)</f>
        <v>78</v>
      </c>
      <c r="I11" s="3">
        <f>SUM(I12:I20)</f>
        <v>75</v>
      </c>
      <c r="J11" s="3">
        <f>H11-I11</f>
        <v>3</v>
      </c>
      <c r="K11" s="3">
        <f>SUM(K12:K20)</f>
        <v>88</v>
      </c>
      <c r="L11" s="3">
        <f>SUM(L12:L20)</f>
        <v>76</v>
      </c>
      <c r="M11" s="3">
        <f>K11-L11</f>
        <v>12</v>
      </c>
      <c r="N11" s="3">
        <f>SUM(N12:N20)</f>
        <v>107</v>
      </c>
      <c r="O11" s="3">
        <f>SUM(O12:O20)</f>
        <v>75</v>
      </c>
      <c r="P11" s="3">
        <f>N11-O11</f>
        <v>32</v>
      </c>
    </row>
    <row r="12" spans="1:16" x14ac:dyDescent="0.3">
      <c r="A12" s="4" t="s">
        <v>1</v>
      </c>
      <c r="B12" s="5">
        <v>20</v>
      </c>
      <c r="C12" s="5">
        <v>15</v>
      </c>
      <c r="D12" s="6">
        <f>B12-C12</f>
        <v>5</v>
      </c>
      <c r="E12" s="5">
        <v>30</v>
      </c>
      <c r="F12" s="5">
        <v>15</v>
      </c>
      <c r="G12" s="6">
        <f t="shared" ref="G12:G13" si="2">E12-F12</f>
        <v>15</v>
      </c>
      <c r="H12" s="5">
        <v>65</v>
      </c>
      <c r="I12" s="5">
        <v>15</v>
      </c>
      <c r="J12" s="6">
        <f t="shared" ref="J12:J13" si="3">H12-I12</f>
        <v>50</v>
      </c>
      <c r="K12" s="5">
        <v>50</v>
      </c>
      <c r="L12" s="5">
        <v>15</v>
      </c>
      <c r="M12" s="6">
        <f t="shared" ref="M12:M13" si="4">K12-L12</f>
        <v>35</v>
      </c>
      <c r="N12" s="5">
        <v>36</v>
      </c>
      <c r="O12" s="5">
        <v>15</v>
      </c>
      <c r="P12" s="6">
        <f t="shared" ref="P12:P13" si="5">N12-O12</f>
        <v>21</v>
      </c>
    </row>
    <row r="13" spans="1:16" x14ac:dyDescent="0.3">
      <c r="A13" s="4" t="s">
        <v>2</v>
      </c>
      <c r="B13" s="5">
        <v>50</v>
      </c>
      <c r="C13" s="5">
        <v>40</v>
      </c>
      <c r="D13" s="6">
        <f>B13-C13</f>
        <v>10</v>
      </c>
      <c r="E13" s="5">
        <v>30</v>
      </c>
      <c r="F13" s="5">
        <v>5</v>
      </c>
      <c r="G13" s="6">
        <f t="shared" si="2"/>
        <v>25</v>
      </c>
      <c r="H13" s="5">
        <v>5</v>
      </c>
      <c r="I13" s="5">
        <v>5</v>
      </c>
      <c r="J13" s="6">
        <f t="shared" si="3"/>
        <v>0</v>
      </c>
      <c r="K13" s="5">
        <v>30</v>
      </c>
      <c r="L13" s="5">
        <v>6</v>
      </c>
      <c r="M13" s="6">
        <f t="shared" si="4"/>
        <v>24</v>
      </c>
      <c r="N13" s="5">
        <v>5</v>
      </c>
      <c r="O13" s="5">
        <v>5</v>
      </c>
      <c r="P13" s="6">
        <f t="shared" si="5"/>
        <v>0</v>
      </c>
    </row>
    <row r="14" spans="1:16" x14ac:dyDescent="0.3">
      <c r="A14" s="4" t="s">
        <v>3</v>
      </c>
      <c r="B14" s="5">
        <v>10</v>
      </c>
      <c r="C14" s="5">
        <v>8</v>
      </c>
      <c r="D14" s="6">
        <f t="shared" ref="D14" si="6">B14-C14</f>
        <v>2</v>
      </c>
      <c r="E14" s="5">
        <v>30</v>
      </c>
      <c r="F14" s="5">
        <v>50</v>
      </c>
      <c r="G14" s="6">
        <f>E14-F14</f>
        <v>-20</v>
      </c>
      <c r="H14" s="5">
        <v>2</v>
      </c>
      <c r="I14" s="5">
        <v>50</v>
      </c>
      <c r="J14" s="6">
        <f>H14-I14</f>
        <v>-48</v>
      </c>
      <c r="K14" s="5">
        <v>2</v>
      </c>
      <c r="L14" s="5">
        <v>50</v>
      </c>
      <c r="M14" s="6">
        <f>K14-L14</f>
        <v>-48</v>
      </c>
      <c r="N14" s="5">
        <v>60</v>
      </c>
      <c r="O14" s="5">
        <v>50</v>
      </c>
      <c r="P14" s="6">
        <f>N14-O14</f>
        <v>10</v>
      </c>
    </row>
    <row r="15" spans="1:16" x14ac:dyDescent="0.3">
      <c r="A15" s="4" t="s">
        <v>4</v>
      </c>
      <c r="B15" s="5">
        <v>10</v>
      </c>
      <c r="C15" s="5">
        <v>9</v>
      </c>
      <c r="D15" s="6">
        <f>B15-C15</f>
        <v>1</v>
      </c>
      <c r="E15" s="5">
        <v>20</v>
      </c>
      <c r="F15" s="5">
        <v>15</v>
      </c>
      <c r="G15" s="6">
        <f t="shared" ref="G15:G20" si="7">E15-F15</f>
        <v>5</v>
      </c>
      <c r="H15" s="5">
        <v>6</v>
      </c>
      <c r="I15" s="5">
        <v>5</v>
      </c>
      <c r="J15" s="6">
        <f t="shared" ref="J15:J20" si="8">H15-I15</f>
        <v>1</v>
      </c>
      <c r="K15" s="5">
        <v>6</v>
      </c>
      <c r="L15" s="5">
        <v>5</v>
      </c>
      <c r="M15" s="6">
        <f t="shared" ref="M15:M20" si="9">K15-L15</f>
        <v>1</v>
      </c>
      <c r="N15" s="5">
        <v>6</v>
      </c>
      <c r="O15" s="5">
        <v>5</v>
      </c>
      <c r="P15" s="6">
        <f t="shared" ref="P15:P20" si="10">N15-O15</f>
        <v>1</v>
      </c>
    </row>
    <row r="16" spans="1:16" x14ac:dyDescent="0.3">
      <c r="A16" s="4" t="s">
        <v>5</v>
      </c>
      <c r="B16" s="5"/>
      <c r="C16" s="5"/>
      <c r="D16" s="6">
        <f>B16-C16</f>
        <v>0</v>
      </c>
      <c r="E16" s="6"/>
      <c r="F16" s="6"/>
      <c r="G16" s="6">
        <f t="shared" si="7"/>
        <v>0</v>
      </c>
      <c r="H16" s="6"/>
      <c r="I16" s="6"/>
      <c r="J16" s="6">
        <f t="shared" si="8"/>
        <v>0</v>
      </c>
      <c r="K16" s="6"/>
      <c r="L16" s="6"/>
      <c r="M16" s="6">
        <f t="shared" si="9"/>
        <v>0</v>
      </c>
      <c r="N16" s="6"/>
      <c r="O16" s="6"/>
      <c r="P16" s="6">
        <f t="shared" si="10"/>
        <v>0</v>
      </c>
    </row>
    <row r="17" spans="1:16" x14ac:dyDescent="0.3">
      <c r="A17" s="4" t="s">
        <v>6</v>
      </c>
      <c r="B17" s="5"/>
      <c r="C17" s="5"/>
      <c r="D17" s="6">
        <f t="shared" ref="D17:D20" si="11">B17-C17</f>
        <v>0</v>
      </c>
      <c r="E17" s="6"/>
      <c r="F17" s="6"/>
      <c r="G17" s="6">
        <f t="shared" si="7"/>
        <v>0</v>
      </c>
      <c r="H17" s="6"/>
      <c r="I17" s="6"/>
      <c r="J17" s="6">
        <f t="shared" si="8"/>
        <v>0</v>
      </c>
      <c r="K17" s="6"/>
      <c r="L17" s="6"/>
      <c r="M17" s="6">
        <f t="shared" si="9"/>
        <v>0</v>
      </c>
      <c r="N17" s="6"/>
      <c r="O17" s="6"/>
      <c r="P17" s="6">
        <f t="shared" si="10"/>
        <v>0</v>
      </c>
    </row>
    <row r="18" spans="1:16" x14ac:dyDescent="0.3">
      <c r="A18" s="4" t="s">
        <v>7</v>
      </c>
      <c r="B18" s="5"/>
      <c r="C18" s="5"/>
      <c r="D18" s="6">
        <f t="shared" si="11"/>
        <v>0</v>
      </c>
      <c r="E18" s="6"/>
      <c r="F18" s="6"/>
      <c r="G18" s="6">
        <f t="shared" si="7"/>
        <v>0</v>
      </c>
      <c r="H18" s="6"/>
      <c r="I18" s="6"/>
      <c r="J18" s="6">
        <f t="shared" si="8"/>
        <v>0</v>
      </c>
      <c r="K18" s="6"/>
      <c r="L18" s="6"/>
      <c r="M18" s="6">
        <f t="shared" si="9"/>
        <v>0</v>
      </c>
      <c r="N18" s="6"/>
      <c r="O18" s="6"/>
      <c r="P18" s="6">
        <f t="shared" si="10"/>
        <v>0</v>
      </c>
    </row>
    <row r="19" spans="1:16" x14ac:dyDescent="0.3">
      <c r="A19" s="4"/>
      <c r="B19" s="5"/>
      <c r="C19" s="5"/>
      <c r="D19" s="6">
        <f t="shared" si="11"/>
        <v>0</v>
      </c>
      <c r="E19" s="6"/>
      <c r="F19" s="6"/>
      <c r="G19" s="6">
        <f t="shared" si="7"/>
        <v>0</v>
      </c>
      <c r="H19" s="6"/>
      <c r="I19" s="6"/>
      <c r="J19" s="6">
        <f>H19-I19</f>
        <v>0</v>
      </c>
      <c r="K19" s="6"/>
      <c r="L19" s="6"/>
      <c r="M19" s="6">
        <f>K19-L19</f>
        <v>0</v>
      </c>
      <c r="N19" s="6"/>
      <c r="O19" s="6"/>
      <c r="P19" s="6">
        <f>N19-O19</f>
        <v>0</v>
      </c>
    </row>
    <row r="20" spans="1:16" x14ac:dyDescent="0.3">
      <c r="A20" s="4"/>
      <c r="B20" s="5"/>
      <c r="C20" s="5"/>
      <c r="D20" s="6">
        <f t="shared" si="11"/>
        <v>0</v>
      </c>
      <c r="E20" s="6"/>
      <c r="F20" s="6"/>
      <c r="G20" s="6">
        <f t="shared" si="7"/>
        <v>0</v>
      </c>
      <c r="H20" s="6"/>
      <c r="I20" s="6"/>
      <c r="J20" s="6">
        <f t="shared" si="8"/>
        <v>0</v>
      </c>
      <c r="K20" s="6"/>
      <c r="L20" s="6"/>
      <c r="M20" s="6">
        <f t="shared" si="9"/>
        <v>0</v>
      </c>
      <c r="N20" s="6"/>
      <c r="O20" s="6"/>
      <c r="P20" s="6">
        <f t="shared" si="10"/>
        <v>0</v>
      </c>
    </row>
    <row r="21" spans="1:16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2" t="s">
        <v>19</v>
      </c>
      <c r="B22" s="3">
        <f>SUM(B11)</f>
        <v>90</v>
      </c>
      <c r="C22" s="3">
        <f t="shared" ref="C22:P22" si="12">SUM(C11)</f>
        <v>72</v>
      </c>
      <c r="D22" s="3">
        <f t="shared" si="12"/>
        <v>18</v>
      </c>
      <c r="E22" s="3">
        <f t="shared" si="12"/>
        <v>110</v>
      </c>
      <c r="F22" s="3">
        <f t="shared" si="12"/>
        <v>85</v>
      </c>
      <c r="G22" s="3">
        <f t="shared" si="12"/>
        <v>25</v>
      </c>
      <c r="H22" s="3">
        <f t="shared" si="12"/>
        <v>78</v>
      </c>
      <c r="I22" s="3">
        <f t="shared" si="12"/>
        <v>75</v>
      </c>
      <c r="J22" s="3">
        <f t="shared" si="12"/>
        <v>3</v>
      </c>
      <c r="K22" s="3">
        <f t="shared" si="12"/>
        <v>88</v>
      </c>
      <c r="L22" s="3">
        <f t="shared" si="12"/>
        <v>76</v>
      </c>
      <c r="M22" s="3">
        <f t="shared" si="12"/>
        <v>12</v>
      </c>
      <c r="N22" s="3">
        <f t="shared" si="12"/>
        <v>107</v>
      </c>
      <c r="O22" s="3">
        <f t="shared" si="12"/>
        <v>75</v>
      </c>
      <c r="P22" s="3">
        <f t="shared" si="12"/>
        <v>32</v>
      </c>
    </row>
  </sheetData>
  <mergeCells count="25">
    <mergeCell ref="B6:D6"/>
    <mergeCell ref="E6:G6"/>
    <mergeCell ref="H6:J6"/>
    <mergeCell ref="K6:M6"/>
    <mergeCell ref="N6:P6"/>
    <mergeCell ref="B5:D5"/>
    <mergeCell ref="E5:G5"/>
    <mergeCell ref="H5:J5"/>
    <mergeCell ref="K5:M5"/>
    <mergeCell ref="N5:P5"/>
    <mergeCell ref="B8:D8"/>
    <mergeCell ref="E8:G8"/>
    <mergeCell ref="H8:J8"/>
    <mergeCell ref="K8:M8"/>
    <mergeCell ref="N8:P8"/>
    <mergeCell ref="B7:D7"/>
    <mergeCell ref="E7:G7"/>
    <mergeCell ref="H7:J7"/>
    <mergeCell ref="K7:M7"/>
    <mergeCell ref="N7:P7"/>
    <mergeCell ref="B4:D4"/>
    <mergeCell ref="N4:P4"/>
    <mergeCell ref="K4:M4"/>
    <mergeCell ref="H4:J4"/>
    <mergeCell ref="E4:G4"/>
  </mergeCells>
  <conditionalFormatting sqref="B7 N7 K7 H7 E7">
    <cfRule type="cellIs" dxfId="19" priority="11" operator="greaterThanOrEqual">
      <formula>0</formula>
    </cfRule>
    <cfRule type="cellIs" dxfId="18" priority="12" operator="lessThan">
      <formula>0</formula>
    </cfRule>
  </conditionalFormatting>
  <conditionalFormatting sqref="G11:G20 J12:J20 M12:M20 P12:P20 D11:D20">
    <cfRule type="cellIs" dxfId="17" priority="9" operator="greaterThan">
      <formula>0</formula>
    </cfRule>
    <cfRule type="cellIs" dxfId="16" priority="10" operator="lessThan">
      <formula>0</formula>
    </cfRule>
  </conditionalFormatting>
  <conditionalFormatting sqref="J11">
    <cfRule type="cellIs" dxfId="15" priority="7" operator="greaterThan">
      <formula>0</formula>
    </cfRule>
    <cfRule type="cellIs" dxfId="14" priority="8" operator="lessThan">
      <formula>0</formula>
    </cfRule>
  </conditionalFormatting>
  <conditionalFormatting sqref="M11">
    <cfRule type="cellIs" dxfId="13" priority="5" operator="greaterThan">
      <formula>0</formula>
    </cfRule>
    <cfRule type="cellIs" dxfId="12" priority="6" operator="lessThan">
      <formula>0</formula>
    </cfRule>
  </conditionalFormatting>
  <conditionalFormatting sqref="P11">
    <cfRule type="cellIs" dxfId="11" priority="3" operator="greaterThan">
      <formula>0</formula>
    </cfRule>
    <cfRule type="cellIs" dxfId="10" priority="4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A3C3-3BF6-4836-A3FF-81C571A13740}">
  <dimension ref="A4:P37"/>
  <sheetViews>
    <sheetView showGridLines="0" zoomScale="80" zoomScaleNormal="80" workbookViewId="0">
      <selection activeCell="L39" sqref="L39"/>
    </sheetView>
  </sheetViews>
  <sheetFormatPr defaultRowHeight="14.4" x14ac:dyDescent="0.3"/>
  <cols>
    <col min="1" max="1" width="29.44140625" bestFit="1" customWidth="1"/>
    <col min="2" max="2" width="11.77734375" bestFit="1" customWidth="1"/>
    <col min="3" max="3" width="10.109375" bestFit="1" customWidth="1"/>
    <col min="4" max="4" width="8.109375" bestFit="1" customWidth="1"/>
    <col min="5" max="5" width="11.77734375" bestFit="1" customWidth="1"/>
    <col min="6" max="7" width="14.5546875" bestFit="1" customWidth="1"/>
    <col min="8" max="8" width="11.6640625" bestFit="1" customWidth="1"/>
    <col min="9" max="9" width="10" bestFit="1" customWidth="1"/>
    <col min="10" max="10" width="8.44140625" bestFit="1" customWidth="1"/>
    <col min="11" max="11" width="11.6640625" bestFit="1" customWidth="1"/>
    <col min="12" max="12" width="10" bestFit="1" customWidth="1"/>
    <col min="13" max="13" width="8.44140625" bestFit="1" customWidth="1"/>
    <col min="14" max="14" width="11.77734375" bestFit="1" customWidth="1"/>
    <col min="15" max="15" width="10" bestFit="1" customWidth="1"/>
    <col min="16" max="16" width="8.44140625" bestFit="1" customWidth="1"/>
    <col min="18" max="18" width="9" customWidth="1"/>
    <col min="19" max="19" width="17.44140625" bestFit="1" customWidth="1"/>
    <col min="20" max="20" width="22.21875" bestFit="1" customWidth="1"/>
  </cols>
  <sheetData>
    <row r="4" spans="1:16" x14ac:dyDescent="0.3">
      <c r="B4" s="20">
        <v>1</v>
      </c>
      <c r="C4" s="20"/>
      <c r="D4" s="20"/>
      <c r="E4" s="20">
        <v>2</v>
      </c>
      <c r="F4" s="20"/>
      <c r="G4" s="20"/>
      <c r="H4" s="20">
        <v>3</v>
      </c>
      <c r="I4" s="20"/>
      <c r="J4" s="20"/>
      <c r="K4" s="20">
        <v>4</v>
      </c>
      <c r="L4" s="20"/>
      <c r="M4" s="20"/>
      <c r="N4" s="20">
        <v>5</v>
      </c>
      <c r="O4" s="20"/>
      <c r="P4" s="20"/>
    </row>
    <row r="5" spans="1:16" ht="15.6" x14ac:dyDescent="0.3">
      <c r="A5" s="11"/>
      <c r="B5" s="26" t="s">
        <v>11</v>
      </c>
      <c r="C5" s="27"/>
      <c r="D5" s="28"/>
      <c r="E5" s="26" t="s">
        <v>12</v>
      </c>
      <c r="F5" s="27"/>
      <c r="G5" s="28"/>
      <c r="H5" s="26" t="s">
        <v>13</v>
      </c>
      <c r="I5" s="27"/>
      <c r="J5" s="28"/>
      <c r="K5" s="26" t="s">
        <v>14</v>
      </c>
      <c r="L5" s="27"/>
      <c r="M5" s="28"/>
      <c r="N5" s="29" t="s">
        <v>15</v>
      </c>
      <c r="O5" s="30"/>
      <c r="P5" s="31"/>
    </row>
    <row r="6" spans="1:16" ht="18" x14ac:dyDescent="0.3">
      <c r="A6" s="12" t="s">
        <v>16</v>
      </c>
      <c r="B6" s="32">
        <v>100</v>
      </c>
      <c r="C6" s="33"/>
      <c r="D6" s="34"/>
      <c r="E6" s="32">
        <v>120</v>
      </c>
      <c r="F6" s="33"/>
      <c r="G6" s="34"/>
      <c r="H6" s="32">
        <f>_xlfn.FORECAST.ETS(H4:J4,$B$6:G6,$B$4:G4,2,1)</f>
        <v>140</v>
      </c>
      <c r="I6" s="33"/>
      <c r="J6" s="34"/>
      <c r="K6" s="32">
        <f>_xlfn.FORECAST.ETS(K4:M4,$B$6:J6,$B$4:J4,2,1)</f>
        <v>160</v>
      </c>
      <c r="L6" s="33"/>
      <c r="M6" s="34"/>
      <c r="N6" s="32">
        <f>_xlfn.FORECAST.ETS(N4:P4,$B$6:M6,$B$4:M4,2,1)</f>
        <v>180</v>
      </c>
      <c r="O6" s="33"/>
      <c r="P6" s="34"/>
    </row>
    <row r="7" spans="1:16" ht="18" x14ac:dyDescent="0.3">
      <c r="A7" s="12" t="s">
        <v>17</v>
      </c>
      <c r="B7" s="21">
        <f>B6-B22</f>
        <v>10</v>
      </c>
      <c r="C7" s="22"/>
      <c r="D7" s="23"/>
      <c r="E7" s="21">
        <f>E6-E22</f>
        <v>10</v>
      </c>
      <c r="F7" s="22"/>
      <c r="G7" s="23"/>
      <c r="H7" s="21">
        <f>H6-H22</f>
        <v>10</v>
      </c>
      <c r="I7" s="22"/>
      <c r="J7" s="23"/>
      <c r="K7" s="21">
        <f>K6-K22</f>
        <v>20</v>
      </c>
      <c r="L7" s="22"/>
      <c r="M7" s="23"/>
      <c r="N7" s="21">
        <f>N6-N22</f>
        <v>34.858313842499996</v>
      </c>
      <c r="O7" s="22"/>
      <c r="P7" s="23"/>
    </row>
    <row r="8" spans="1:16" ht="18" x14ac:dyDescent="0.3">
      <c r="A8" s="12" t="s">
        <v>18</v>
      </c>
      <c r="B8" s="24">
        <f>IF(B6&lt;&gt;0,(B7/B6),"n/a")</f>
        <v>0.1</v>
      </c>
      <c r="C8" s="24"/>
      <c r="D8" s="24"/>
      <c r="E8" s="25">
        <f>IF(E6&lt;&gt;0,(E7/E6),"n/a")</f>
        <v>8.3333333333333329E-2</v>
      </c>
      <c r="F8" s="25"/>
      <c r="G8" s="25"/>
      <c r="H8" s="25">
        <f t="shared" ref="H8" si="0">IF(H6&lt;&gt;0,(H7/H6),"n/a")</f>
        <v>7.1428571428571425E-2</v>
      </c>
      <c r="I8" s="25"/>
      <c r="J8" s="25"/>
      <c r="K8" s="25">
        <f t="shared" ref="K8" si="1">IF(K6&lt;&gt;0,(K7/K6),"n/a")</f>
        <v>0.125</v>
      </c>
      <c r="L8" s="25"/>
      <c r="M8" s="25"/>
      <c r="N8" s="25">
        <f>IF(N6&lt;&gt;0,(N7/N6),"n/a")</f>
        <v>0.19365729912499999</v>
      </c>
      <c r="O8" s="25"/>
      <c r="P8" s="25"/>
    </row>
    <row r="9" spans="1:16" ht="15.6" x14ac:dyDescent="0.3">
      <c r="A9" s="12"/>
      <c r="B9" s="9" t="s">
        <v>8</v>
      </c>
      <c r="C9" s="9" t="s">
        <v>9</v>
      </c>
      <c r="D9" s="10" t="s">
        <v>10</v>
      </c>
      <c r="E9" s="9" t="s">
        <v>8</v>
      </c>
      <c r="F9" s="9" t="s">
        <v>9</v>
      </c>
      <c r="G9" s="10" t="s">
        <v>10</v>
      </c>
      <c r="H9" s="9" t="s">
        <v>8</v>
      </c>
      <c r="I9" s="9" t="s">
        <v>9</v>
      </c>
      <c r="J9" s="10" t="s">
        <v>10</v>
      </c>
      <c r="K9" s="9" t="s">
        <v>8</v>
      </c>
      <c r="L9" s="9" t="s">
        <v>9</v>
      </c>
      <c r="M9" s="10" t="s">
        <v>10</v>
      </c>
      <c r="N9" s="9" t="s">
        <v>8</v>
      </c>
      <c r="O9" s="9" t="s">
        <v>9</v>
      </c>
      <c r="P9" s="10" t="s">
        <v>10</v>
      </c>
    </row>
    <row r="10" spans="1:16" ht="15.6" x14ac:dyDescent="0.3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2" t="s">
        <v>0</v>
      </c>
      <c r="B11" s="3">
        <f>SUM(B12:B18)</f>
        <v>90</v>
      </c>
      <c r="C11" s="3">
        <f>SUM(C12:C18)</f>
        <v>72</v>
      </c>
      <c r="D11" s="3">
        <f>B11-C11</f>
        <v>18</v>
      </c>
      <c r="E11" s="3">
        <f>SUM(E12:E20)</f>
        <v>110</v>
      </c>
      <c r="F11" s="3">
        <f>SUM(F12:F20)</f>
        <v>100</v>
      </c>
      <c r="G11" s="3">
        <f>E11-F11</f>
        <v>10</v>
      </c>
      <c r="H11" s="3">
        <f>SUM(H12:H20)</f>
        <v>130</v>
      </c>
      <c r="I11" s="3">
        <f>SUM(I12:I20)</f>
        <v>128</v>
      </c>
      <c r="J11" s="3">
        <f>H11-I11</f>
        <v>2</v>
      </c>
      <c r="K11" s="3">
        <f>SUM(K12:K20)</f>
        <v>140</v>
      </c>
      <c r="L11" s="3">
        <f>SUM(L12:L20)</f>
        <v>128</v>
      </c>
      <c r="M11" s="3">
        <f>K11-L11</f>
        <v>12</v>
      </c>
      <c r="N11" s="3">
        <f>SUM(N12:N20)</f>
        <v>145.1416861575</v>
      </c>
      <c r="O11" s="3">
        <f>SUM(O12:O20)</f>
        <v>114.39672124099999</v>
      </c>
      <c r="P11" s="3">
        <f>N11-O11</f>
        <v>30.74496491650001</v>
      </c>
    </row>
    <row r="12" spans="1:16" x14ac:dyDescent="0.3">
      <c r="A12" s="4" t="s">
        <v>1</v>
      </c>
      <c r="B12" s="5">
        <v>20</v>
      </c>
      <c r="C12" s="5">
        <v>15</v>
      </c>
      <c r="D12" s="6">
        <f>B12-C12</f>
        <v>5</v>
      </c>
      <c r="E12" s="5">
        <v>30</v>
      </c>
      <c r="F12" s="5">
        <v>30</v>
      </c>
      <c r="G12" s="6">
        <f t="shared" ref="G12:G13" si="2">E12-F12</f>
        <v>0</v>
      </c>
      <c r="H12" s="5">
        <f>D27</f>
        <v>40</v>
      </c>
      <c r="I12" s="5">
        <f>D34</f>
        <v>45</v>
      </c>
      <c r="J12" s="6">
        <f t="shared" ref="J12:J13" si="3">H12-I12</f>
        <v>-5</v>
      </c>
      <c r="K12" s="15">
        <f>E27</f>
        <v>50</v>
      </c>
      <c r="L12" s="5">
        <f>E34</f>
        <v>45</v>
      </c>
      <c r="M12" s="6">
        <f t="shared" ref="M12:M13" si="4">K12-L12</f>
        <v>5</v>
      </c>
      <c r="N12" s="5">
        <f>F27</f>
        <v>60</v>
      </c>
      <c r="O12" s="5">
        <f>F34</f>
        <v>37.712529236249992</v>
      </c>
      <c r="P12" s="6">
        <f t="shared" ref="P12:P13" si="5">N12-O12</f>
        <v>22.287470763750008</v>
      </c>
    </row>
    <row r="13" spans="1:16" x14ac:dyDescent="0.3">
      <c r="A13" s="4" t="s">
        <v>2</v>
      </c>
      <c r="B13" s="5">
        <v>50</v>
      </c>
      <c r="C13" s="5">
        <v>40</v>
      </c>
      <c r="D13" s="6">
        <f>B13-C13</f>
        <v>10</v>
      </c>
      <c r="E13" s="5">
        <v>30</v>
      </c>
      <c r="F13" s="5">
        <v>50</v>
      </c>
      <c r="G13" s="6">
        <f t="shared" si="2"/>
        <v>-20</v>
      </c>
      <c r="H13" s="5">
        <f t="shared" ref="H13:H15" si="6">D28</f>
        <v>10</v>
      </c>
      <c r="I13" s="5">
        <f t="shared" ref="I13:I15" si="7">D35</f>
        <v>60</v>
      </c>
      <c r="J13" s="6">
        <f t="shared" si="3"/>
        <v>-50</v>
      </c>
      <c r="K13" s="15">
        <f t="shared" ref="K13:K15" si="8">E28</f>
        <v>10</v>
      </c>
      <c r="L13" s="5">
        <f t="shared" ref="L13:L15" si="9">E35</f>
        <v>60</v>
      </c>
      <c r="M13" s="6">
        <f t="shared" si="4"/>
        <v>-50</v>
      </c>
      <c r="N13" s="5">
        <f t="shared" ref="N13:N15" si="10">F28</f>
        <v>19.716627684999995</v>
      </c>
      <c r="O13" s="5">
        <f t="shared" ref="O13:O15" si="11">F35</f>
        <v>55.141686157500004</v>
      </c>
      <c r="P13" s="6">
        <f t="shared" si="5"/>
        <v>-35.425058472500012</v>
      </c>
    </row>
    <row r="14" spans="1:16" x14ac:dyDescent="0.3">
      <c r="A14" s="4" t="s">
        <v>3</v>
      </c>
      <c r="B14" s="5">
        <v>10</v>
      </c>
      <c r="C14" s="5">
        <v>8</v>
      </c>
      <c r="D14" s="6">
        <f t="shared" ref="D14" si="12">B14-C14</f>
        <v>2</v>
      </c>
      <c r="E14" s="5">
        <v>30</v>
      </c>
      <c r="F14" s="5">
        <v>5</v>
      </c>
      <c r="G14" s="6">
        <f>E14-F14</f>
        <v>25</v>
      </c>
      <c r="H14" s="5">
        <f t="shared" si="6"/>
        <v>50</v>
      </c>
      <c r="I14" s="5">
        <f t="shared" si="7"/>
        <v>2</v>
      </c>
      <c r="J14" s="6">
        <f>H14-I14</f>
        <v>48</v>
      </c>
      <c r="K14" s="15">
        <f t="shared" si="8"/>
        <v>50</v>
      </c>
      <c r="L14" s="5">
        <f t="shared" si="9"/>
        <v>2</v>
      </c>
      <c r="M14" s="6">
        <f>K14-L14</f>
        <v>48</v>
      </c>
      <c r="N14" s="5">
        <f t="shared" si="10"/>
        <v>40.283372315000008</v>
      </c>
      <c r="O14" s="5">
        <f t="shared" si="11"/>
        <v>3.4574941527499998</v>
      </c>
      <c r="P14" s="6">
        <f>N14-O14</f>
        <v>36.825878162250007</v>
      </c>
    </row>
    <row r="15" spans="1:16" x14ac:dyDescent="0.3">
      <c r="A15" s="4" t="s">
        <v>4</v>
      </c>
      <c r="B15" s="5">
        <v>10</v>
      </c>
      <c r="C15" s="5">
        <v>9</v>
      </c>
      <c r="D15" s="6">
        <f>B15-C15</f>
        <v>1</v>
      </c>
      <c r="E15" s="5">
        <v>20</v>
      </c>
      <c r="F15" s="5">
        <v>15</v>
      </c>
      <c r="G15" s="6">
        <f t="shared" ref="G15:G20" si="13">E15-F15</f>
        <v>5</v>
      </c>
      <c r="H15" s="5">
        <f t="shared" si="6"/>
        <v>30</v>
      </c>
      <c r="I15" s="5">
        <f t="shared" si="7"/>
        <v>21</v>
      </c>
      <c r="J15" s="6">
        <f t="shared" ref="J15:J20" si="14">H15-I15</f>
        <v>9</v>
      </c>
      <c r="K15" s="15">
        <f t="shared" si="8"/>
        <v>30</v>
      </c>
      <c r="L15" s="5">
        <f t="shared" si="9"/>
        <v>21</v>
      </c>
      <c r="M15" s="6">
        <f t="shared" ref="M15:M20" si="15">K15-L15</f>
        <v>9</v>
      </c>
      <c r="N15" s="5">
        <f t="shared" si="10"/>
        <v>25.141686157500004</v>
      </c>
      <c r="O15" s="5">
        <f t="shared" si="11"/>
        <v>18.085011694499997</v>
      </c>
      <c r="P15" s="6">
        <f t="shared" ref="P15:P20" si="16">N15-O15</f>
        <v>7.0566744630000073</v>
      </c>
    </row>
    <row r="16" spans="1:16" x14ac:dyDescent="0.3">
      <c r="A16" s="4" t="s">
        <v>5</v>
      </c>
      <c r="B16" s="5"/>
      <c r="C16" s="5"/>
      <c r="D16" s="6">
        <f>B16-C16</f>
        <v>0</v>
      </c>
      <c r="E16" s="6"/>
      <c r="F16" s="6"/>
      <c r="G16" s="6">
        <f t="shared" si="13"/>
        <v>0</v>
      </c>
      <c r="H16" s="6"/>
      <c r="I16" s="6"/>
      <c r="J16" s="6">
        <f t="shared" si="14"/>
        <v>0</v>
      </c>
      <c r="K16" s="6"/>
      <c r="L16" s="6"/>
      <c r="M16" s="6">
        <f t="shared" si="15"/>
        <v>0</v>
      </c>
      <c r="N16" s="6"/>
      <c r="O16" s="6"/>
      <c r="P16" s="6">
        <f t="shared" si="16"/>
        <v>0</v>
      </c>
    </row>
    <row r="17" spans="1:16" x14ac:dyDescent="0.3">
      <c r="A17" s="4" t="s">
        <v>6</v>
      </c>
      <c r="B17" s="5"/>
      <c r="C17" s="5"/>
      <c r="D17" s="6">
        <f t="shared" ref="D17:D20" si="17">B17-C17</f>
        <v>0</v>
      </c>
      <c r="E17" s="6"/>
      <c r="F17" s="6"/>
      <c r="G17" s="6">
        <f t="shared" si="13"/>
        <v>0</v>
      </c>
      <c r="H17" s="6"/>
      <c r="I17" s="6"/>
      <c r="J17" s="6">
        <f t="shared" si="14"/>
        <v>0</v>
      </c>
      <c r="K17" s="6"/>
      <c r="L17" s="6"/>
      <c r="M17" s="6">
        <f t="shared" si="15"/>
        <v>0</v>
      </c>
      <c r="N17" s="6"/>
      <c r="O17" s="6"/>
      <c r="P17" s="6">
        <f t="shared" si="16"/>
        <v>0</v>
      </c>
    </row>
    <row r="18" spans="1:16" x14ac:dyDescent="0.3">
      <c r="A18" s="4" t="s">
        <v>7</v>
      </c>
      <c r="B18" s="5"/>
      <c r="C18" s="5"/>
      <c r="D18" s="6">
        <f t="shared" si="17"/>
        <v>0</v>
      </c>
      <c r="E18" s="6"/>
      <c r="F18" s="6"/>
      <c r="G18" s="6">
        <f t="shared" si="13"/>
        <v>0</v>
      </c>
      <c r="H18" s="6"/>
      <c r="I18" s="6"/>
      <c r="J18" s="6">
        <f t="shared" si="14"/>
        <v>0</v>
      </c>
      <c r="K18" s="6"/>
      <c r="L18" s="6"/>
      <c r="M18" s="6">
        <f t="shared" si="15"/>
        <v>0</v>
      </c>
      <c r="N18" s="6"/>
      <c r="O18" s="6"/>
      <c r="P18" s="6">
        <f t="shared" si="16"/>
        <v>0</v>
      </c>
    </row>
    <row r="19" spans="1:16" x14ac:dyDescent="0.3">
      <c r="A19" s="4"/>
      <c r="B19" s="5"/>
      <c r="C19" s="5"/>
      <c r="D19" s="6">
        <f t="shared" si="17"/>
        <v>0</v>
      </c>
      <c r="E19" s="6"/>
      <c r="F19" s="6"/>
      <c r="G19" s="6">
        <f t="shared" si="13"/>
        <v>0</v>
      </c>
      <c r="H19" s="6"/>
      <c r="I19" s="6"/>
      <c r="J19" s="6">
        <f>H19-I19</f>
        <v>0</v>
      </c>
      <c r="K19" s="6"/>
      <c r="L19" s="6"/>
      <c r="M19" s="6">
        <f>K19-L19</f>
        <v>0</v>
      </c>
      <c r="N19" s="6"/>
      <c r="O19" s="6"/>
      <c r="P19" s="6">
        <f>N19-O19</f>
        <v>0</v>
      </c>
    </row>
    <row r="20" spans="1:16" x14ac:dyDescent="0.3">
      <c r="A20" s="4"/>
      <c r="B20" s="5"/>
      <c r="C20" s="5"/>
      <c r="D20" s="6">
        <f t="shared" si="17"/>
        <v>0</v>
      </c>
      <c r="E20" s="6"/>
      <c r="F20" s="6"/>
      <c r="G20" s="6">
        <f t="shared" si="13"/>
        <v>0</v>
      </c>
      <c r="H20" s="6"/>
      <c r="I20" s="6"/>
      <c r="J20" s="6">
        <f t="shared" si="14"/>
        <v>0</v>
      </c>
      <c r="K20" s="6"/>
      <c r="L20" s="6"/>
      <c r="M20" s="6">
        <f t="shared" si="15"/>
        <v>0</v>
      </c>
      <c r="N20" s="6"/>
      <c r="O20" s="6"/>
      <c r="P20" s="6">
        <f t="shared" si="16"/>
        <v>0</v>
      </c>
    </row>
    <row r="21" spans="1:16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2" t="s">
        <v>19</v>
      </c>
      <c r="B22" s="3">
        <f>SUM(B11)</f>
        <v>90</v>
      </c>
      <c r="C22" s="3">
        <f t="shared" ref="C22:P22" si="18">SUM(C11)</f>
        <v>72</v>
      </c>
      <c r="D22" s="3">
        <f t="shared" si="18"/>
        <v>18</v>
      </c>
      <c r="E22" s="3">
        <f t="shared" si="18"/>
        <v>110</v>
      </c>
      <c r="F22" s="3">
        <f t="shared" si="18"/>
        <v>100</v>
      </c>
      <c r="G22" s="3">
        <f t="shared" si="18"/>
        <v>10</v>
      </c>
      <c r="H22" s="3">
        <f t="shared" si="18"/>
        <v>130</v>
      </c>
      <c r="I22" s="3">
        <f t="shared" si="18"/>
        <v>128</v>
      </c>
      <c r="J22" s="3">
        <f t="shared" si="18"/>
        <v>2</v>
      </c>
      <c r="K22" s="3">
        <f t="shared" si="18"/>
        <v>140</v>
      </c>
      <c r="L22" s="3">
        <f t="shared" si="18"/>
        <v>128</v>
      </c>
      <c r="M22" s="3">
        <f t="shared" si="18"/>
        <v>12</v>
      </c>
      <c r="N22" s="3">
        <f t="shared" si="18"/>
        <v>145.1416861575</v>
      </c>
      <c r="O22" s="3">
        <f t="shared" si="18"/>
        <v>114.39672124099999</v>
      </c>
      <c r="P22" s="3">
        <f t="shared" si="18"/>
        <v>30.74496491650001</v>
      </c>
    </row>
    <row r="25" spans="1:16" ht="15.6" x14ac:dyDescent="0.3">
      <c r="B25" s="36" t="s">
        <v>20</v>
      </c>
      <c r="C25" s="36"/>
      <c r="D25" s="36"/>
      <c r="E25" s="36"/>
      <c r="F25" s="36"/>
      <c r="G25" s="36"/>
    </row>
    <row r="26" spans="1:16" x14ac:dyDescent="0.3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</row>
    <row r="27" spans="1:16" x14ac:dyDescent="0.3">
      <c r="B27" s="16">
        <v>20</v>
      </c>
      <c r="C27" s="16">
        <v>30</v>
      </c>
      <c r="D27" s="17">
        <f>_xlfn.FORECAST.ETS($D$26,$B$27:C27,$B$26:C26,2,1)</f>
        <v>40</v>
      </c>
      <c r="E27" s="17">
        <f>_xlfn.FORECAST.ETS(E26,$B$27:D27,$B$26:D26,2,1)</f>
        <v>50</v>
      </c>
      <c r="F27" s="17">
        <f>_xlfn.FORECAST.ETS(F26,$B$27:E27,$B$26:E26,2,1)</f>
        <v>60</v>
      </c>
      <c r="G27" s="17">
        <f>_xlfn.FORECAST.ETS(G26,$B$27:F27,$B$26:F26,2,1)</f>
        <v>70</v>
      </c>
    </row>
    <row r="28" spans="1:16" x14ac:dyDescent="0.3">
      <c r="B28" s="16">
        <v>50</v>
      </c>
      <c r="C28" s="16">
        <v>30</v>
      </c>
      <c r="D28" s="17">
        <f>_xlfn.FORECAST.ETS($D$26,$B$28:C28,$B$26:C26,2,1)</f>
        <v>10</v>
      </c>
      <c r="E28" s="18">
        <f>_xlfn.FORECAST.ETS($D$26,$B$28:D28,$B$26:D26,2,1)</f>
        <v>10</v>
      </c>
      <c r="F28" s="18">
        <f>_xlfn.FORECAST.ETS($D$26,$B$28:E28,$B$26:E26,2,1)</f>
        <v>19.716627684999995</v>
      </c>
      <c r="G28" s="18">
        <f>_xlfn.FORECAST.ETS($D$26,$B$28:F28,$B$26:F26,2,1)</f>
        <v>27.121703081656737</v>
      </c>
    </row>
    <row r="29" spans="1:16" x14ac:dyDescent="0.3">
      <c r="B29" s="16">
        <v>10</v>
      </c>
      <c r="C29" s="16">
        <v>30</v>
      </c>
      <c r="D29" s="17">
        <f>_xlfn.FORECAST.ETS($D$26,$B$29:C29,$B$26:C26,2,1)</f>
        <v>50</v>
      </c>
      <c r="E29" s="18">
        <f>_xlfn.FORECAST.ETS($D$26,$B$29:D29,$B$26:D26,2,1)</f>
        <v>50</v>
      </c>
      <c r="F29" s="18">
        <f>_xlfn.FORECAST.ETS($D$26,$B$29:E29,$B$26:E26,2,1)</f>
        <v>40.283372315000008</v>
      </c>
      <c r="G29" s="18">
        <f>_xlfn.FORECAST.ETS($D$26,$B$29:F29,$B$26:F26,2,1)</f>
        <v>32.878296918343274</v>
      </c>
    </row>
    <row r="30" spans="1:16" x14ac:dyDescent="0.3">
      <c r="B30" s="16">
        <v>10</v>
      </c>
      <c r="C30" s="16">
        <v>20</v>
      </c>
      <c r="D30" s="17">
        <f>_xlfn.FORECAST.ETS($D$26,$B$30:C30,$B$26:C26,2,1)</f>
        <v>30</v>
      </c>
      <c r="E30" s="18">
        <f>_xlfn.FORECAST.ETS($D$26,$B$30:D30,$B$26:D26,2,1)</f>
        <v>30</v>
      </c>
      <c r="F30" s="18">
        <f>_xlfn.FORECAST.ETS($D$26,$B$30:E30,$B$26:E26,2,1)</f>
        <v>25.141686157500004</v>
      </c>
      <c r="G30" s="18">
        <f>_xlfn.FORECAST.ETS($D$26,$B$30:F30,$B$26:F26,2,1)</f>
        <v>21.439148459171633</v>
      </c>
    </row>
    <row r="31" spans="1:16" x14ac:dyDescent="0.3">
      <c r="B31" s="19"/>
      <c r="C31" s="19"/>
      <c r="D31" s="17"/>
      <c r="E31" s="17"/>
      <c r="F31" s="17"/>
      <c r="G31" s="17"/>
    </row>
    <row r="32" spans="1:16" ht="15.6" x14ac:dyDescent="0.3">
      <c r="B32" s="35" t="s">
        <v>21</v>
      </c>
      <c r="C32" s="35"/>
      <c r="D32" s="35"/>
      <c r="E32" s="35"/>
      <c r="F32" s="35"/>
      <c r="G32" s="35"/>
    </row>
    <row r="33" spans="2:7" x14ac:dyDescent="0.3">
      <c r="B33" s="17">
        <v>1</v>
      </c>
      <c r="C33" s="17">
        <v>2</v>
      </c>
      <c r="D33" s="17">
        <v>3</v>
      </c>
      <c r="E33" s="17">
        <v>4</v>
      </c>
      <c r="F33" s="17">
        <v>5</v>
      </c>
      <c r="G33" s="17">
        <v>6</v>
      </c>
    </row>
    <row r="34" spans="2:7" x14ac:dyDescent="0.3">
      <c r="B34" s="16">
        <f>C12</f>
        <v>15</v>
      </c>
      <c r="C34" s="16">
        <f>F12</f>
        <v>30</v>
      </c>
      <c r="D34" s="17">
        <f>_xlfn.FORECAST.ETS($D$33,$B$34:C34,$B$33:C33,2,1)</f>
        <v>45</v>
      </c>
      <c r="E34" s="17">
        <f>_xlfn.FORECAST.ETS($D$33,$B$34:D34,$B$33:D33,2,1)</f>
        <v>45</v>
      </c>
      <c r="F34" s="18">
        <f>_xlfn.FORECAST.ETS($D$33,$B$34:E34,$B$33:E33,2,1)</f>
        <v>37.712529236249992</v>
      </c>
      <c r="G34" s="18">
        <f>_xlfn.FORECAST.ETS($D$33,$B$34:F34,$B$33:F33,2,1)</f>
        <v>32.158722688757436</v>
      </c>
    </row>
    <row r="35" spans="2:7" x14ac:dyDescent="0.3">
      <c r="B35" s="16">
        <f t="shared" ref="B35:B37" si="19">C13</f>
        <v>40</v>
      </c>
      <c r="C35" s="16">
        <f t="shared" ref="C35:C37" si="20">F13</f>
        <v>50</v>
      </c>
      <c r="D35" s="17">
        <f>_xlfn.FORECAST.ETS($D$33,$B$35:C35,$B$33:C33,2,1)</f>
        <v>60</v>
      </c>
      <c r="E35" s="17">
        <f>_xlfn.FORECAST.ETS($D$33,$B$35:D35,$B$33:D33,2,1)</f>
        <v>60</v>
      </c>
      <c r="F35" s="18">
        <f>_xlfn.FORECAST.ETS($D$33,$B$35:E35,$B$33:E33,2,1)</f>
        <v>55.141686157500004</v>
      </c>
      <c r="G35" s="18">
        <f>_xlfn.FORECAST.ETS($D$33,$B$35:F35,$B$33:F33,2,1)</f>
        <v>51.439148459171619</v>
      </c>
    </row>
    <row r="36" spans="2:7" x14ac:dyDescent="0.3">
      <c r="B36" s="16">
        <f t="shared" si="19"/>
        <v>8</v>
      </c>
      <c r="C36" s="16">
        <f t="shared" si="20"/>
        <v>5</v>
      </c>
      <c r="D36" s="17">
        <f>_xlfn.FORECAST.ETS($D$33,$B$36:C36,$B$33:C33,2,1)</f>
        <v>2</v>
      </c>
      <c r="E36" s="17">
        <f>_xlfn.FORECAST.ETS($D$33,$B$36:D36,$B$33:D33,2,1)</f>
        <v>2</v>
      </c>
      <c r="F36" s="18">
        <f>_xlfn.FORECAST.ETS($D$33,$B$36:E36,$B$33:E33,2,1)</f>
        <v>3.4574941527499998</v>
      </c>
      <c r="G36" s="18">
        <f>_xlfn.FORECAST.ETS($D$33,$B$36:F36,$B$33:F33,2,1)</f>
        <v>4.5682554622485112</v>
      </c>
    </row>
    <row r="37" spans="2:7" x14ac:dyDescent="0.3">
      <c r="B37" s="16">
        <f t="shared" si="19"/>
        <v>9</v>
      </c>
      <c r="C37" s="16">
        <f t="shared" si="20"/>
        <v>15</v>
      </c>
      <c r="D37" s="17">
        <f>_xlfn.FORECAST.ETS($D$33,$B$37:C37,$B$33:C33,2,1)</f>
        <v>21</v>
      </c>
      <c r="E37" s="17">
        <f>_xlfn.FORECAST.ETS($D$33,$B$37:D37,$B$33:D33,2,1)</f>
        <v>21</v>
      </c>
      <c r="F37" s="18">
        <f>_xlfn.FORECAST.ETS($D$33,$B$37:E37,$B$33:E33,2,1)</f>
        <v>18.085011694499997</v>
      </c>
      <c r="G37" s="18">
        <f>_xlfn.FORECAST.ETS($D$33,$B$37:F37,$B$33:F33,2,1)</f>
        <v>15.863489075502981</v>
      </c>
    </row>
  </sheetData>
  <mergeCells count="27">
    <mergeCell ref="B5:D5"/>
    <mergeCell ref="E5:G5"/>
    <mergeCell ref="H5:J5"/>
    <mergeCell ref="K5:M5"/>
    <mergeCell ref="N5:P5"/>
    <mergeCell ref="B4:D4"/>
    <mergeCell ref="E4:G4"/>
    <mergeCell ref="H4:J4"/>
    <mergeCell ref="K4:M4"/>
    <mergeCell ref="N4:P4"/>
    <mergeCell ref="N8:P8"/>
    <mergeCell ref="B25:G2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32:G32"/>
    <mergeCell ref="B8:D8"/>
    <mergeCell ref="E8:G8"/>
    <mergeCell ref="H8:J8"/>
    <mergeCell ref="K8:M8"/>
  </mergeCells>
  <conditionalFormatting sqref="B7 N7 K7 H7 E7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G11:G20 J12:J20 M12:M20 P12:P20 D11:D20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J11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M11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P11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Orçamento(Budget )X Forecast</vt:lpstr>
      <vt:lpstr>Orçamento(Budget )X Forecas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Bumba Amador</dc:creator>
  <cp:lastModifiedBy>Francisco Bumba Amador</cp:lastModifiedBy>
  <dcterms:created xsi:type="dcterms:W3CDTF">2015-06-05T18:17:20Z</dcterms:created>
  <dcterms:modified xsi:type="dcterms:W3CDTF">2026-01-04T02:53:04Z</dcterms:modified>
</cp:coreProperties>
</file>